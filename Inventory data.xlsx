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Inventory data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<sst xmlns="http://schemas.openxmlformats.org/spreadsheetml/2006/main" count="39" uniqueCount="30">
  <si>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Serial No</t>
  </si>
  <si>
    <t>Supplier Name</t>
  </si>
  <si>
    <t>Product Name</t>
  </si>
  <si>
    <t>Date of purchase</t>
  </si>
  <si>
    <t>Date of expiry</t>
  </si>
  <si>
    <t>Qty</t>
  </si>
  <si>
    <t>Cost price</t>
  </si>
  <si>
    <t>Total amount</t>
  </si>
  <si>
    <t>CGST (12%)</t>
  </si>
  <si>
    <t>SGST (8%)</t>
  </si>
  <si>
    <t>Amount after GST</t>
  </si>
  <si>
    <t>Selling price</t>
  </si>
  <si>
    <t>Total Sales</t>
  </si>
  <si>
    <t>AJ Supplier</t>
  </si>
  <si>
    <t>A</t>
  </si>
  <si>
    <t>B</t>
  </si>
  <si>
    <t>C</t>
  </si>
  <si>
    <t>D</t>
  </si>
  <si>
    <t>E</t>
  </si>
  <si>
    <t>Bhawani Supplier</t>
  </si>
  <si>
    <t>F</t>
  </si>
  <si>
    <t>G</t>
  </si>
  <si>
    <t>H</t>
  </si>
  <si>
    <t>I</t>
  </si>
  <si>
    <t>J</t>
  </si>
  <si>
    <t>Total</t>
  </si>
  <si>
    <t>Serial no</t>
  </si>
  <si>
    <t>Product name</t>
  </si>
  <si>
    <t>Qty left</t>
  </si>
  <si>
    <t>Red/Yellow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</si>
</sst>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zoomScale="120" zoomScaleNormal="120" topLeftCell="D1" workbookViewId="0">
      <selection activeCell="G7" sqref="G7"/>
    </sheetView>
  </sheetViews>
  <sheetFormatPr defaultColWidth="9" defaultRowHeight="14.25"/>
  <cols>
    <col min="1" max="1" width="11.625" customWidth="1"/>
    <col min="2" max="2" width="18.25" customWidth="1"/>
    <col min="3" max="3" width="13.75" customWidth="1"/>
    <col min="4" max="4" width="16" customWidth="1"/>
    <col min="5" max="5" width="17.875" customWidth="1"/>
    <col min="7" max="7" width="12.875" customWidth="1"/>
    <col min="8" max="8" width="12.75" customWidth="1"/>
    <col min="9" max="10" width="9.875" customWidth="1"/>
    <col min="11" max="11" width="16.625" customWidth="1"/>
    <col min="12" max="12" width="10.375" customWidth="1"/>
  </cols>
  <sheetData>
    <row r="1" ht="15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ht="15" spans="1:13">
      <c r="A2" s="5">
        <v>1</v>
      </c>
      <c r="B2" s="5" t="s">
        <v>13</v>
      </c>
      <c r="C2" s="5" t="s">
        <v>14</v>
      </c>
      <c r="D2" s="6">
        <v>46190</v>
      </c>
      <c r="E2" s="6">
        <v>46220</v>
      </c>
      <c r="F2" s="5">
        <v>12</v>
      </c>
      <c r="G2" s="5">
        <v>133</v>
      </c>
      <c r="H2" s="5">
        <f>F2*G2</f>
        <v>1596</v>
      </c>
      <c r="I2" s="7">
        <f>H2*12%</f>
        <v>191.52</v>
      </c>
      <c r="J2" s="7">
        <f>H2*8%</f>
        <v>127.68</v>
      </c>
      <c r="K2" s="7">
        <f>SUM(H2:J2)</f>
        <v>1915.2</v>
      </c>
      <c r="L2">
        <v>150</v>
      </c>
      <c r="M2">
        <f>L2*F2</f>
        <v>1800</v>
      </c>
    </row>
    <row r="3" ht="15" spans="1:13">
      <c r="A3" s="5">
        <v>2</v>
      </c>
      <c r="B3" s="5" t="s">
        <v>13</v>
      </c>
      <c r="C3" s="5" t="s">
        <v>15</v>
      </c>
      <c r="D3" s="6">
        <v>46190</v>
      </c>
      <c r="E3" s="6">
        <v>46220</v>
      </c>
      <c r="F3" s="5">
        <v>32</v>
      </c>
      <c r="G3" s="5">
        <v>146</v>
      </c>
      <c r="H3" s="5">
        <f t="shared" ref="H3:H11" si="0">F3*G3</f>
        <v>4672</v>
      </c>
      <c r="I3" s="7">
        <f t="shared" ref="I3:I11" si="1">H3*12%</f>
        <v>560.64</v>
      </c>
      <c r="J3" s="7">
        <f t="shared" ref="J3:J11" si="2">H3*8%</f>
        <v>373.76</v>
      </c>
      <c r="K3" s="7">
        <f t="shared" ref="K3:K11" si="3">SUM(H3:J3)</f>
        <v>5606.4</v>
      </c>
      <c r="M3">
        <f t="shared" ref="M3:M11" si="4">L3*F3</f>
        <v>0</v>
      </c>
    </row>
    <row r="4" ht="15" spans="1:13">
      <c r="A4" s="5">
        <v>3</v>
      </c>
      <c r="B4" s="5" t="s">
        <v>13</v>
      </c>
      <c r="C4" s="5" t="s">
        <v>16</v>
      </c>
      <c r="D4" s="6">
        <v>46190</v>
      </c>
      <c r="E4" s="6">
        <v>46220</v>
      </c>
      <c r="F4" s="5">
        <v>15</v>
      </c>
      <c r="G4" s="5">
        <v>191</v>
      </c>
      <c r="H4" s="5">
        <f t="shared" si="0"/>
        <v>2865</v>
      </c>
      <c r="I4" s="7">
        <f t="shared" si="1"/>
        <v>343.8</v>
      </c>
      <c r="J4" s="7">
        <f t="shared" si="2"/>
        <v>229.2</v>
      </c>
      <c r="K4" s="7">
        <f t="shared" si="3"/>
        <v>3438</v>
      </c>
      <c r="M4">
        <f t="shared" si="4"/>
        <v>0</v>
      </c>
    </row>
    <row r="5" ht="15" spans="1:13">
      <c r="A5" s="5">
        <v>4</v>
      </c>
      <c r="B5" s="5" t="s">
        <v>13</v>
      </c>
      <c r="C5" s="5" t="s">
        <v>17</v>
      </c>
      <c r="D5" s="6">
        <v>46190</v>
      </c>
      <c r="E5" s="6">
        <v>46220</v>
      </c>
      <c r="F5" s="5">
        <v>54</v>
      </c>
      <c r="G5" s="5">
        <v>124</v>
      </c>
      <c r="H5" s="5">
        <f t="shared" si="0"/>
        <v>6696</v>
      </c>
      <c r="I5" s="7">
        <f t="shared" si="1"/>
        <v>803.52</v>
      </c>
      <c r="J5" s="7">
        <f t="shared" si="2"/>
        <v>535.68</v>
      </c>
      <c r="K5" s="7">
        <f t="shared" si="3"/>
        <v>8035.2</v>
      </c>
      <c r="M5">
        <f t="shared" si="4"/>
        <v>0</v>
      </c>
    </row>
    <row r="6" ht="15" spans="1:13">
      <c r="A6" s="5">
        <v>5</v>
      </c>
      <c r="B6" s="5" t="s">
        <v>13</v>
      </c>
      <c r="C6" s="5" t="s">
        <v>18</v>
      </c>
      <c r="D6" s="6">
        <v>46190</v>
      </c>
      <c r="E6" s="6">
        <v>46220</v>
      </c>
      <c r="F6" s="5">
        <v>23</v>
      </c>
      <c r="G6" s="5">
        <v>109</v>
      </c>
      <c r="H6" s="5">
        <f t="shared" si="0"/>
        <v>2507</v>
      </c>
      <c r="I6" s="7">
        <f t="shared" si="1"/>
        <v>300.84</v>
      </c>
      <c r="J6" s="7">
        <f t="shared" si="2"/>
        <v>200.56</v>
      </c>
      <c r="K6" s="7">
        <f t="shared" si="3"/>
        <v>3008.4</v>
      </c>
      <c r="M6">
        <f t="shared" si="4"/>
        <v>0</v>
      </c>
    </row>
    <row r="7" ht="15" spans="1:13">
      <c r="A7" s="5">
        <v>6</v>
      </c>
      <c r="B7" s="5" t="s">
        <v>19</v>
      </c>
      <c r="C7" s="5" t="s">
        <v>20</v>
      </c>
      <c r="D7" s="6">
        <v>46191</v>
      </c>
      <c r="E7" s="6">
        <v>46221</v>
      </c>
      <c r="F7" s="5">
        <v>11</v>
      </c>
      <c r="G7" s="5">
        <v>179</v>
      </c>
      <c r="H7" s="5">
        <f t="shared" si="0"/>
        <v>1969</v>
      </c>
      <c r="I7" s="7">
        <f t="shared" si="1"/>
        <v>236.28</v>
      </c>
      <c r="J7" s="7">
        <f t="shared" si="2"/>
        <v>157.52</v>
      </c>
      <c r="K7" s="7">
        <f t="shared" si="3"/>
        <v>2362.8</v>
      </c>
      <c r="M7">
        <f t="shared" si="4"/>
        <v>0</v>
      </c>
    </row>
    <row r="8" ht="15" spans="1:13">
      <c r="A8" s="5">
        <v>7</v>
      </c>
      <c r="B8" s="5" t="s">
        <v>19</v>
      </c>
      <c r="C8" s="5" t="s">
        <v>21</v>
      </c>
      <c r="D8" s="6">
        <v>46191</v>
      </c>
      <c r="E8" s="6">
        <v>46221</v>
      </c>
      <c r="F8" s="5">
        <v>7</v>
      </c>
      <c r="G8" s="5">
        <v>125</v>
      </c>
      <c r="H8" s="5">
        <f t="shared" si="0"/>
        <v>875</v>
      </c>
      <c r="I8" s="7">
        <f t="shared" si="1"/>
        <v>105</v>
      </c>
      <c r="J8" s="7">
        <f t="shared" si="2"/>
        <v>70</v>
      </c>
      <c r="K8" s="7">
        <f t="shared" si="3"/>
        <v>1050</v>
      </c>
      <c r="M8">
        <f t="shared" si="4"/>
        <v>0</v>
      </c>
    </row>
    <row r="9" ht="15" spans="1:13">
      <c r="A9" s="5">
        <v>8</v>
      </c>
      <c r="B9" s="5" t="s">
        <v>19</v>
      </c>
      <c r="C9" s="5" t="s">
        <v>22</v>
      </c>
      <c r="D9" s="6">
        <v>46191</v>
      </c>
      <c r="E9" s="6">
        <v>46221</v>
      </c>
      <c r="F9" s="5">
        <v>31</v>
      </c>
      <c r="G9" s="5">
        <v>153</v>
      </c>
      <c r="H9" s="5">
        <f t="shared" si="0"/>
        <v>4743</v>
      </c>
      <c r="I9" s="7">
        <f t="shared" si="1"/>
        <v>569.16</v>
      </c>
      <c r="J9" s="7">
        <f t="shared" si="2"/>
        <v>379.44</v>
      </c>
      <c r="K9" s="7">
        <f t="shared" si="3"/>
        <v>5691.6</v>
      </c>
      <c r="M9">
        <f t="shared" si="4"/>
        <v>0</v>
      </c>
    </row>
    <row r="10" ht="15" spans="1:13">
      <c r="A10" s="5">
        <v>9</v>
      </c>
      <c r="B10" s="5" t="s">
        <v>19</v>
      </c>
      <c r="C10" s="5" t="s">
        <v>23</v>
      </c>
      <c r="D10" s="6">
        <v>46191</v>
      </c>
      <c r="E10" s="6">
        <v>46221</v>
      </c>
      <c r="F10" s="5">
        <v>42</v>
      </c>
      <c r="G10" s="5">
        <v>93</v>
      </c>
      <c r="H10" s="5">
        <f t="shared" si="0"/>
        <v>3906</v>
      </c>
      <c r="I10" s="7">
        <f t="shared" si="1"/>
        <v>468.72</v>
      </c>
      <c r="J10" s="7">
        <f t="shared" si="2"/>
        <v>312.48</v>
      </c>
      <c r="K10" s="7">
        <f t="shared" si="3"/>
        <v>4687.2</v>
      </c>
      <c r="M10">
        <f t="shared" si="4"/>
        <v>0</v>
      </c>
    </row>
    <row r="11" ht="15" spans="1:13">
      <c r="A11" s="5">
        <v>10</v>
      </c>
      <c r="B11" s="5" t="s">
        <v>19</v>
      </c>
      <c r="C11" s="5" t="s">
        <v>24</v>
      </c>
      <c r="D11" s="6">
        <v>46191</v>
      </c>
      <c r="E11" s="6">
        <v>46221</v>
      </c>
      <c r="F11" s="5">
        <v>23</v>
      </c>
      <c r="G11" s="5">
        <v>112</v>
      </c>
      <c r="H11" s="5">
        <f t="shared" si="0"/>
        <v>2576</v>
      </c>
      <c r="I11" s="7">
        <f t="shared" si="1"/>
        <v>309.12</v>
      </c>
      <c r="J11" s="7">
        <f t="shared" si="2"/>
        <v>206.08</v>
      </c>
      <c r="K11" s="7">
        <f t="shared" si="3"/>
        <v>3091.2</v>
      </c>
      <c r="M11">
        <f t="shared" si="4"/>
        <v>0</v>
      </c>
    </row>
    <row r="13" spans="1:13">
      <c r="A13" t="s">
        <v>25</v>
      </c>
      <c r="F13">
        <f>SUM(F2:F11)</f>
        <v>250</v>
      </c>
      <c r="G13">
        <f t="shared" ref="G13:M13" si="5">SUM(G2:G11)</f>
        <v>1365</v>
      </c>
      <c r="H13">
        <f t="shared" si="5"/>
        <v>32405</v>
      </c>
      <c r="I13">
        <f t="shared" si="5"/>
        <v>3888.6</v>
      </c>
      <c r="J13">
        <f t="shared" si="5"/>
        <v>2592.4</v>
      </c>
      <c r="K13">
        <f t="shared" si="5"/>
        <v>38886</v>
      </c>
      <c r="L13">
        <f t="shared" si="5"/>
        <v>150</v>
      </c>
      <c r="M13">
        <f t="shared" si="5"/>
        <v>1800</v>
      </c>
    </row>
    <row r="14" ht="15" spans="1:13">
      <c r="E14" s="8"/>
    </row>
    <row r="15" spans="1:13">
      <c r="E15" s="9"/>
      <c r="F15">
        <v>100</v>
      </c>
      <c r="G15">
        <v>20</v>
      </c>
      <c r="H15">
        <f>F15+G15</f>
        <v>120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H2" sqref="H2"/>
    </sheetView>
  </sheetViews>
  <sheetFormatPr defaultColWidth="9" defaultRowHeight="14.25" outlineLevelCol="4"/>
  <cols>
    <col min="1" max="1" width="9.875" customWidth="1"/>
    <col min="2" max="3" width="14" customWidth="1"/>
    <col min="4" max="4" width="8.875" customWidth="1"/>
    <col min="5" max="5" width="10.875" customWidth="1"/>
  </cols>
  <sheetData>
    <row r="1" spans="1: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Inventory data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Yadav</dc:creator>
  <cp:lastModifiedBy>hp</cp:lastModifiedBy>
  <dcterms:created xsi:type="dcterms:W3CDTF">2026-06-17T02:39:00Z</dcterms:created>
  <dcterms:modified xsi:type="dcterms:W3CDTF">2026-06-24T03:41:32Z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005D255AB2E1433CBE0B121DA1E13D7C_12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